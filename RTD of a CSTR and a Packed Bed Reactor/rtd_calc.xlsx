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\Dropbox\PC\Desktop\"/>
    </mc:Choice>
  </mc:AlternateContent>
  <xr:revisionPtr revIDLastSave="0" documentId="13_ncr:1_{1885B20A-0297-4913-AB0C-CEEC46684188}" xr6:coauthVersionLast="47" xr6:coauthVersionMax="47" xr10:uidLastSave="{00000000-0000-0000-0000-000000000000}"/>
  <bookViews>
    <workbookView xWindow="11424" yWindow="0" windowWidth="11712" windowHeight="12336" xr2:uid="{AF8CDBD8-9BC6-4DBA-803F-22813033DE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49" i="1" l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4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G49" i="1"/>
  <c r="K49" i="1"/>
  <c r="O49" i="1"/>
  <c r="C49" i="1"/>
  <c r="P5" i="1"/>
  <c r="O5" i="1"/>
  <c r="L5" i="1"/>
  <c r="K5" i="1"/>
  <c r="K6" i="1"/>
  <c r="K7" i="1"/>
  <c r="K8" i="1"/>
  <c r="L8" i="1" s="1"/>
  <c r="K9" i="1"/>
  <c r="K10" i="1"/>
  <c r="K11" i="1"/>
  <c r="K12" i="1"/>
  <c r="L12" i="1" s="1"/>
  <c r="K13" i="1"/>
  <c r="K14" i="1"/>
  <c r="K15" i="1"/>
  <c r="K16" i="1"/>
  <c r="K17" i="1"/>
  <c r="K18" i="1"/>
  <c r="K19" i="1"/>
  <c r="K20" i="1"/>
  <c r="K21" i="1"/>
  <c r="K22" i="1"/>
  <c r="L7" i="1"/>
  <c r="L22" i="1"/>
  <c r="H5" i="1"/>
  <c r="H6" i="1"/>
  <c r="G5" i="1"/>
  <c r="C5" i="1"/>
  <c r="D5" i="1" s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4" i="1"/>
  <c r="L6" i="1"/>
  <c r="L9" i="1"/>
  <c r="L10" i="1"/>
  <c r="L11" i="1"/>
  <c r="L13" i="1"/>
  <c r="L14" i="1"/>
  <c r="L15" i="1"/>
  <c r="L16" i="1"/>
  <c r="L17" i="1"/>
  <c r="L18" i="1"/>
  <c r="L19" i="1"/>
  <c r="L20" i="1"/>
  <c r="L21" i="1"/>
  <c r="L4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4" i="1"/>
  <c r="K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G4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4" i="1"/>
  <c r="G23" i="1"/>
  <c r="G24" i="1"/>
  <c r="G25" i="1"/>
  <c r="G26" i="1"/>
  <c r="G27" i="1"/>
  <c r="G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R47" i="1" l="1"/>
</calcChain>
</file>

<file path=xl/sharedStrings.xml><?xml version="1.0" encoding="utf-8"?>
<sst xmlns="http://schemas.openxmlformats.org/spreadsheetml/2006/main" count="24" uniqueCount="10">
  <si>
    <t>Time</t>
  </si>
  <si>
    <t>TDS</t>
  </si>
  <si>
    <t>CSTR</t>
  </si>
  <si>
    <t>PBR</t>
  </si>
  <si>
    <t>Flow = 17.5 lph</t>
  </si>
  <si>
    <t>Flow = 20 lph</t>
  </si>
  <si>
    <t>E(t)</t>
  </si>
  <si>
    <t>Conc.</t>
  </si>
  <si>
    <t xml:space="preserve">tm = 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</si>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</sst>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A047-6833-4BA7-BF56-79B253F6327E}">
  <dimension ref="A1:R49"/>
  <sheetViews>
    <sheetView tabSelected="1" topLeftCell="I1" zoomScale="83" workbookViewId="0">
      <selection activeCell="R49" sqref="R49"/>
    </sheetView>
  </sheetViews>
  <sheetFormatPr defaultRowHeight="14.4" x14ac:dyDescent="0.3"/>
  <cols>
    <col min="1" max="1" width="5" bestFit="1" customWidth="1"/>
    <col min="2" max="2" width="4.33203125" bestFit="1" customWidth="1"/>
    <col min="3" max="3" width="13.109375" bestFit="1" customWidth="1"/>
    <col min="4" max="4" width="12.88671875" bestFit="1" customWidth="1"/>
    <col min="5" max="5" width="5" bestFit="1" customWidth="1"/>
    <col min="6" max="6" width="4.33203125" bestFit="1" customWidth="1"/>
    <col min="7" max="7" width="7.5546875" bestFit="1" customWidth="1"/>
    <col min="8" max="8" width="12.88671875" bestFit="1" customWidth="1"/>
    <col min="9" max="9" width="5" bestFit="1" customWidth="1"/>
    <col min="10" max="10" width="4.33203125" bestFit="1" customWidth="1"/>
    <col min="11" max="11" width="8" bestFit="1" customWidth="1"/>
    <col min="12" max="12" width="12.33203125" bestFit="1" customWidth="1"/>
    <col min="13" max="13" width="5" bestFit="1" customWidth="1"/>
    <col min="14" max="14" width="4.33203125" bestFit="1" customWidth="1"/>
    <col min="15" max="15" width="8" bestFit="1" customWidth="1"/>
    <col min="16" max="16" width="12.88671875" bestFit="1" customWidth="1"/>
    <col min="18" max="18" width="12" bestFit="1" customWidth="1"/>
  </cols>
  <sheetData>
    <row r="1" spans="1:18" x14ac:dyDescent="0.3">
      <c r="A1" s="2" t="s">
        <v>2</v>
      </c>
      <c r="B1" s="2"/>
      <c r="C1" s="2"/>
      <c r="D1" s="2"/>
      <c r="E1" s="2"/>
      <c r="F1" s="2"/>
      <c r="G1" s="2"/>
      <c r="H1" s="2"/>
      <c r="I1" s="2" t="s">
        <v>3</v>
      </c>
      <c r="J1" s="2"/>
      <c r="K1" s="2"/>
      <c r="L1" s="2"/>
      <c r="M1" s="2"/>
      <c r="N1" s="2"/>
      <c r="O1" s="2"/>
      <c r="P1" s="2"/>
    </row>
    <row r="2" spans="1:18" x14ac:dyDescent="0.3">
      <c r="A2" s="2" t="s">
        <v>4</v>
      </c>
      <c r="B2" s="2"/>
      <c r="C2" s="2"/>
      <c r="D2" s="2"/>
      <c r="E2" s="2" t="s">
        <v>5</v>
      </c>
      <c r="F2" s="2"/>
      <c r="G2" s="2"/>
      <c r="H2" s="2"/>
      <c r="I2" s="2" t="s">
        <v>5</v>
      </c>
      <c r="J2" s="2"/>
      <c r="K2" s="2"/>
      <c r="L2" s="2"/>
      <c r="M2" s="2" t="s">
        <v>5</v>
      </c>
      <c r="N2" s="2"/>
      <c r="O2" s="2"/>
      <c r="P2" s="2"/>
    </row>
    <row r="3" spans="1:18" x14ac:dyDescent="0.3">
      <c r="A3" t="s">
        <v>0</v>
      </c>
      <c r="B3" t="s">
        <v>1</v>
      </c>
      <c r="C3" t="s">
        <v>7</v>
      </c>
      <c r="D3" t="s">
        <v>6</v>
      </c>
      <c r="E3" t="s">
        <v>0</v>
      </c>
      <c r="F3" t="s">
        <v>1</v>
      </c>
      <c r="G3" t="s">
        <v>7</v>
      </c>
      <c r="H3" t="s">
        <v>6</v>
      </c>
      <c r="I3" t="s">
        <v>0</v>
      </c>
      <c r="J3" t="s">
        <v>1</v>
      </c>
      <c r="K3" t="s">
        <v>7</v>
      </c>
      <c r="L3" t="s">
        <v>6</v>
      </c>
      <c r="M3" t="s">
        <v>0</v>
      </c>
      <c r="N3" t="s">
        <v>1</v>
      </c>
      <c r="O3" t="s">
        <v>7</v>
      </c>
      <c r="P3" t="s">
        <v>6</v>
      </c>
    </row>
    <row r="4" spans="1:18" x14ac:dyDescent="0.3">
      <c r="A4">
        <v>0</v>
      </c>
      <c r="B4" s="1">
        <v>8</v>
      </c>
      <c r="C4">
        <v>0</v>
      </c>
      <c r="D4">
        <f>C4/57.3958</f>
        <v>0</v>
      </c>
      <c r="E4" s="1">
        <v>0</v>
      </c>
      <c r="F4">
        <v>10</v>
      </c>
      <c r="G4">
        <f xml:space="preserve"> 0.0349*F4 - 0.3116</f>
        <v>3.7399999999999989E-2</v>
      </c>
      <c r="H4">
        <f>G4/49.2216</f>
        <v>7.5982901815463107E-4</v>
      </c>
      <c r="I4" s="1">
        <v>0</v>
      </c>
      <c r="J4" s="1">
        <v>9</v>
      </c>
      <c r="K4" s="1">
        <f xml:space="preserve"> 0.0349*J4 - 0.3116</f>
        <v>2.5000000000000022E-3</v>
      </c>
      <c r="L4" s="1">
        <f>K4/55.71545</f>
        <v>4.4870857185933205E-5</v>
      </c>
      <c r="M4" s="1">
        <v>0</v>
      </c>
      <c r="N4" s="1">
        <v>10</v>
      </c>
      <c r="O4" s="1">
        <f>0.0349*N4-0.3116</f>
        <v>3.7399999999999989E-2</v>
      </c>
      <c r="P4">
        <f>O4/45.16815</f>
        <v>8.280170872617097E-4</v>
      </c>
      <c r="R4">
        <f xml:space="preserve"> M4*O4*M4</f>
        <v>0</v>
      </c>
    </row>
    <row r="5" spans="1:18" x14ac:dyDescent="0.3">
      <c r="A5">
        <v>0.5</v>
      </c>
      <c r="B5" s="1">
        <v>216</v>
      </c>
      <c r="C5">
        <f xml:space="preserve"> 0.0349*B5 - 0.3116</f>
        <v>7.2267999999999999</v>
      </c>
      <c r="D5">
        <f t="shared" ref="D5:D45" si="0">C5/57.3958</f>
        <v>0.12591165207210284</v>
      </c>
      <c r="E5" s="1">
        <v>0.5</v>
      </c>
      <c r="F5" s="1">
        <v>209</v>
      </c>
      <c r="G5">
        <f xml:space="preserve"> 0.0349*F5 - 0.3116</f>
        <v>6.9824999999999999</v>
      </c>
      <c r="H5">
        <f>G5/49.2216</f>
        <v>0.14185845238675704</v>
      </c>
      <c r="I5" s="1">
        <v>0.5</v>
      </c>
      <c r="J5" s="1">
        <v>9</v>
      </c>
      <c r="K5" s="1">
        <f xml:space="preserve"> 0.0349*J5 - 0.3116</f>
        <v>2.5000000000000022E-3</v>
      </c>
      <c r="L5" s="1">
        <f>K5/55.71545</f>
        <v>4.4870857185933205E-5</v>
      </c>
      <c r="M5" s="1">
        <v>0.5</v>
      </c>
      <c r="N5" s="1">
        <v>10</v>
      </c>
      <c r="O5" s="1">
        <f>0.0349*N5-0.3116</f>
        <v>3.7399999999999989E-2</v>
      </c>
      <c r="P5">
        <f>O5/45.16815</f>
        <v>8.280170872617097E-4</v>
      </c>
      <c r="R5">
        <f t="shared" ref="R5:R32" si="1" xml:space="preserve"> M5*O5*M5</f>
        <v>9.3499999999999972E-3</v>
      </c>
    </row>
    <row r="6" spans="1:18" x14ac:dyDescent="0.3">
      <c r="A6">
        <v>1</v>
      </c>
      <c r="B6" s="1">
        <v>204</v>
      </c>
      <c r="C6">
        <f t="shared" ref="C5:C45" si="2" xml:space="preserve"> 0.0349*B6 - 0.3116</f>
        <v>6.8079999999999998</v>
      </c>
      <c r="D6">
        <f t="shared" si="0"/>
        <v>0.1186149509197537</v>
      </c>
      <c r="E6" s="1">
        <v>1</v>
      </c>
      <c r="F6" s="1">
        <v>198</v>
      </c>
      <c r="G6">
        <f xml:space="preserve"> 0.0349*F6 - 0.3116</f>
        <v>6.5985999999999994</v>
      </c>
      <c r="H6">
        <f>G6/49.2216</f>
        <v>0.13405903099452271</v>
      </c>
      <c r="I6" s="1">
        <v>1</v>
      </c>
      <c r="J6" s="1">
        <v>9</v>
      </c>
      <c r="K6" s="1">
        <f t="shared" ref="K6:K22" si="3" xml:space="preserve"> 0.0349*J6 - 0.3116</f>
        <v>2.5000000000000022E-3</v>
      </c>
      <c r="L6" s="1">
        <f t="shared" ref="L5:L21" si="4">K6/55.71545</f>
        <v>4.4870857185933205E-5</v>
      </c>
      <c r="M6" s="1">
        <v>1</v>
      </c>
      <c r="N6" s="1">
        <v>10</v>
      </c>
      <c r="O6" s="1">
        <f t="shared" ref="O5:O19" si="5">0.0349*N6-0.3116</f>
        <v>3.7399999999999989E-2</v>
      </c>
      <c r="P6">
        <f t="shared" ref="P5:P19" si="6">O6/45.16815</f>
        <v>8.280170872617097E-4</v>
      </c>
      <c r="R6">
        <f t="shared" si="1"/>
        <v>3.7399999999999989E-2</v>
      </c>
    </row>
    <row r="7" spans="1:18" x14ac:dyDescent="0.3">
      <c r="A7">
        <v>1.5</v>
      </c>
      <c r="B7" s="1">
        <v>194</v>
      </c>
      <c r="C7">
        <f t="shared" si="2"/>
        <v>6.4589999999999996</v>
      </c>
      <c r="D7">
        <f t="shared" si="0"/>
        <v>0.11253436662612942</v>
      </c>
      <c r="E7" s="1">
        <v>1.5</v>
      </c>
      <c r="F7" s="1">
        <v>187</v>
      </c>
      <c r="G7">
        <f xml:space="preserve"> 0.0349*F7 - 0.3116</f>
        <v>6.2146999999999997</v>
      </c>
      <c r="H7">
        <f t="shared" ref="H5:H28" si="7">G7/49.2216</f>
        <v>0.12625960960228841</v>
      </c>
      <c r="I7" s="1">
        <v>1.5</v>
      </c>
      <c r="J7" s="1">
        <v>9</v>
      </c>
      <c r="K7" s="1">
        <f t="shared" si="3"/>
        <v>2.5000000000000022E-3</v>
      </c>
      <c r="L7" s="1">
        <f t="shared" si="4"/>
        <v>4.4870857185933205E-5</v>
      </c>
      <c r="M7" s="1">
        <v>1.5</v>
      </c>
      <c r="N7" s="1">
        <v>10</v>
      </c>
      <c r="O7" s="1">
        <f t="shared" si="5"/>
        <v>3.7399999999999989E-2</v>
      </c>
      <c r="P7">
        <f t="shared" si="6"/>
        <v>8.280170872617097E-4</v>
      </c>
      <c r="R7">
        <f t="shared" si="1"/>
        <v>8.4149999999999975E-2</v>
      </c>
    </row>
    <row r="8" spans="1:18" x14ac:dyDescent="0.3">
      <c r="A8">
        <v>2</v>
      </c>
      <c r="B8" s="1">
        <v>183</v>
      </c>
      <c r="C8">
        <f t="shared" si="2"/>
        <v>6.0750999999999999</v>
      </c>
      <c r="D8">
        <f t="shared" si="0"/>
        <v>0.10584572390314273</v>
      </c>
      <c r="E8" s="1">
        <v>2</v>
      </c>
      <c r="F8" s="1">
        <v>177</v>
      </c>
      <c r="G8">
        <f xml:space="preserve"> 0.0349*F8 - 0.3116</f>
        <v>5.8656999999999995</v>
      </c>
      <c r="H8">
        <f t="shared" si="7"/>
        <v>0.11916922651843904</v>
      </c>
      <c r="I8" s="1">
        <v>2</v>
      </c>
      <c r="J8" s="1">
        <v>9</v>
      </c>
      <c r="K8" s="1">
        <f t="shared" si="3"/>
        <v>2.5000000000000022E-3</v>
      </c>
      <c r="L8" s="1">
        <f t="shared" si="4"/>
        <v>4.4870857185933205E-5</v>
      </c>
      <c r="M8" s="1">
        <v>2</v>
      </c>
      <c r="N8" s="1">
        <v>10</v>
      </c>
      <c r="O8" s="1">
        <f t="shared" si="5"/>
        <v>3.7399999999999989E-2</v>
      </c>
      <c r="P8">
        <f t="shared" si="6"/>
        <v>8.280170872617097E-4</v>
      </c>
      <c r="R8">
        <f t="shared" si="1"/>
        <v>0.14959999999999996</v>
      </c>
    </row>
    <row r="9" spans="1:18" x14ac:dyDescent="0.3">
      <c r="A9">
        <v>2.5</v>
      </c>
      <c r="B9" s="1">
        <v>173</v>
      </c>
      <c r="C9">
        <f t="shared" si="2"/>
        <v>5.7260999999999997</v>
      </c>
      <c r="D9">
        <f t="shared" si="0"/>
        <v>9.9765139609518466E-2</v>
      </c>
      <c r="E9" s="1">
        <v>2.5</v>
      </c>
      <c r="F9" s="1">
        <v>164</v>
      </c>
      <c r="G9">
        <f xml:space="preserve"> 0.0349*F9 - 0.3116</f>
        <v>5.4119999999999999</v>
      </c>
      <c r="H9">
        <f t="shared" si="7"/>
        <v>0.10995172850943488</v>
      </c>
      <c r="I9" s="1">
        <v>2.5</v>
      </c>
      <c r="J9" s="1">
        <v>9</v>
      </c>
      <c r="K9" s="1">
        <f t="shared" si="3"/>
        <v>2.5000000000000022E-3</v>
      </c>
      <c r="L9" s="1">
        <f t="shared" si="4"/>
        <v>4.4870857185933205E-5</v>
      </c>
      <c r="M9" s="1">
        <v>2.5</v>
      </c>
      <c r="N9" s="1">
        <v>10</v>
      </c>
      <c r="O9" s="1">
        <f t="shared" si="5"/>
        <v>3.7399999999999989E-2</v>
      </c>
      <c r="P9">
        <f t="shared" si="6"/>
        <v>8.280170872617097E-4</v>
      </c>
      <c r="R9">
        <f t="shared" si="1"/>
        <v>0.23374999999999993</v>
      </c>
    </row>
    <row r="10" spans="1:18" x14ac:dyDescent="0.3">
      <c r="A10">
        <v>3</v>
      </c>
      <c r="B10" s="1">
        <v>168</v>
      </c>
      <c r="C10">
        <f t="shared" si="2"/>
        <v>5.5515999999999996</v>
      </c>
      <c r="D10">
        <f t="shared" si="0"/>
        <v>9.672484746270632E-2</v>
      </c>
      <c r="E10" s="1">
        <v>3</v>
      </c>
      <c r="F10" s="1">
        <v>158</v>
      </c>
      <c r="G10">
        <f xml:space="preserve"> 0.0349*F10 - 0.3116</f>
        <v>5.2025999999999994</v>
      </c>
      <c r="H10">
        <f t="shared" si="7"/>
        <v>0.10569749865912524</v>
      </c>
      <c r="I10" s="1">
        <v>3</v>
      </c>
      <c r="J10" s="1">
        <v>11</v>
      </c>
      <c r="K10" s="1">
        <f t="shared" si="3"/>
        <v>7.2300000000000031E-2</v>
      </c>
      <c r="L10" s="1">
        <f t="shared" si="4"/>
        <v>1.2976651898171877E-3</v>
      </c>
      <c r="M10" s="1">
        <v>3</v>
      </c>
      <c r="N10" s="1">
        <v>40</v>
      </c>
      <c r="O10" s="1">
        <f t="shared" si="5"/>
        <v>1.0844</v>
      </c>
      <c r="P10">
        <f t="shared" si="6"/>
        <v>2.4008067631727227E-2</v>
      </c>
      <c r="R10">
        <f t="shared" si="1"/>
        <v>9.7596000000000007</v>
      </c>
    </row>
    <row r="11" spans="1:18" x14ac:dyDescent="0.3">
      <c r="A11">
        <v>3.5</v>
      </c>
      <c r="B11" s="1">
        <v>158</v>
      </c>
      <c r="C11">
        <f t="shared" si="2"/>
        <v>5.2025999999999994</v>
      </c>
      <c r="D11">
        <f t="shared" si="0"/>
        <v>9.0644263169082043E-2</v>
      </c>
      <c r="E11" s="1">
        <v>3.5</v>
      </c>
      <c r="F11" s="1">
        <v>147</v>
      </c>
      <c r="G11">
        <f xml:space="preserve"> 0.0349*F11 - 0.3116</f>
        <v>4.8186999999999998</v>
      </c>
      <c r="H11">
        <f t="shared" si="7"/>
        <v>9.7898077266890954E-2</v>
      </c>
      <c r="I11" s="1">
        <v>3.5</v>
      </c>
      <c r="J11" s="1">
        <v>40</v>
      </c>
      <c r="K11" s="1">
        <f t="shared" si="3"/>
        <v>1.0844</v>
      </c>
      <c r="L11" s="1">
        <f t="shared" si="4"/>
        <v>1.9463183012970373E-2</v>
      </c>
      <c r="M11" s="1">
        <v>3.5</v>
      </c>
      <c r="N11" s="1">
        <v>220</v>
      </c>
      <c r="O11" s="1">
        <f t="shared" si="5"/>
        <v>7.3663999999999996</v>
      </c>
      <c r="P11">
        <f t="shared" si="6"/>
        <v>0.1630883708985203</v>
      </c>
      <c r="R11">
        <f t="shared" si="1"/>
        <v>90.238399999999999</v>
      </c>
    </row>
    <row r="12" spans="1:18" x14ac:dyDescent="0.3">
      <c r="A12">
        <v>4</v>
      </c>
      <c r="B12" s="1">
        <v>144</v>
      </c>
      <c r="C12">
        <f t="shared" si="2"/>
        <v>4.7139999999999995</v>
      </c>
      <c r="D12">
        <f t="shared" si="0"/>
        <v>8.2131445158008062E-2</v>
      </c>
      <c r="E12" s="1">
        <v>4</v>
      </c>
      <c r="F12" s="1">
        <v>141</v>
      </c>
      <c r="G12">
        <f xml:space="preserve"> 0.0349*F12 - 0.3116</f>
        <v>4.6093000000000002</v>
      </c>
      <c r="H12">
        <f t="shared" si="7"/>
        <v>9.3643847416581341E-2</v>
      </c>
      <c r="I12" s="1">
        <v>4</v>
      </c>
      <c r="J12" s="1">
        <v>450</v>
      </c>
      <c r="K12" s="1">
        <f t="shared" si="3"/>
        <v>15.3934</v>
      </c>
      <c r="L12" s="1">
        <f t="shared" si="4"/>
        <v>0.27628602120237744</v>
      </c>
      <c r="M12" s="1">
        <v>4</v>
      </c>
      <c r="N12" s="1">
        <v>590</v>
      </c>
      <c r="O12" s="1">
        <f t="shared" si="5"/>
        <v>20.279400000000003</v>
      </c>
      <c r="P12">
        <f t="shared" si="6"/>
        <v>0.44897566094692842</v>
      </c>
      <c r="R12">
        <f t="shared" si="1"/>
        <v>324.47040000000004</v>
      </c>
    </row>
    <row r="13" spans="1:18" x14ac:dyDescent="0.3">
      <c r="A13">
        <v>4.5</v>
      </c>
      <c r="B13" s="1">
        <v>141</v>
      </c>
      <c r="C13">
        <f t="shared" si="2"/>
        <v>4.6093000000000002</v>
      </c>
      <c r="D13">
        <f t="shared" si="0"/>
        <v>8.0307269869920803E-2</v>
      </c>
      <c r="E13" s="1">
        <v>4.5</v>
      </c>
      <c r="F13" s="1">
        <v>131</v>
      </c>
      <c r="G13">
        <f xml:space="preserve"> 0.0349*F13 - 0.3116</f>
        <v>4.2603</v>
      </c>
      <c r="H13">
        <f t="shared" si="7"/>
        <v>8.6553464332731964E-2</v>
      </c>
      <c r="I13" s="1">
        <v>4.5</v>
      </c>
      <c r="J13" s="1">
        <v>683</v>
      </c>
      <c r="K13" s="1">
        <f t="shared" si="3"/>
        <v>23.525100000000002</v>
      </c>
      <c r="L13" s="1">
        <f t="shared" si="4"/>
        <v>0.42223656095391859</v>
      </c>
      <c r="M13" s="1">
        <v>4.5</v>
      </c>
      <c r="N13" s="1">
        <v>680</v>
      </c>
      <c r="O13" s="1">
        <f t="shared" si="5"/>
        <v>23.420400000000001</v>
      </c>
      <c r="P13">
        <f t="shared" si="6"/>
        <v>0.51851581258032486</v>
      </c>
      <c r="R13">
        <f t="shared" si="1"/>
        <v>474.26310000000001</v>
      </c>
    </row>
    <row r="14" spans="1:18" x14ac:dyDescent="0.3">
      <c r="A14">
        <v>5</v>
      </c>
      <c r="B14" s="1">
        <v>133</v>
      </c>
      <c r="C14">
        <f t="shared" si="2"/>
        <v>4.3300999999999998</v>
      </c>
      <c r="D14">
        <f t="shared" si="0"/>
        <v>7.5442802435021369E-2</v>
      </c>
      <c r="E14" s="1">
        <v>5</v>
      </c>
      <c r="F14" s="1">
        <v>123</v>
      </c>
      <c r="G14">
        <f xml:space="preserve"> 0.0349*F14 - 0.3116</f>
        <v>3.9811000000000001</v>
      </c>
      <c r="H14">
        <f t="shared" si="7"/>
        <v>8.0881157865652475E-2</v>
      </c>
      <c r="I14" s="1">
        <v>5</v>
      </c>
      <c r="J14" s="1">
        <v>624</v>
      </c>
      <c r="K14" s="1">
        <f t="shared" si="3"/>
        <v>21.466000000000001</v>
      </c>
      <c r="L14" s="1">
        <f t="shared" si="4"/>
        <v>0.38527912814129656</v>
      </c>
      <c r="M14" s="1">
        <v>5</v>
      </c>
      <c r="N14" s="1">
        <v>491</v>
      </c>
      <c r="O14" s="1">
        <f t="shared" si="5"/>
        <v>16.824300000000001</v>
      </c>
      <c r="P14">
        <f t="shared" si="6"/>
        <v>0.37248149415019216</v>
      </c>
      <c r="R14">
        <f t="shared" si="1"/>
        <v>420.60749999999996</v>
      </c>
    </row>
    <row r="15" spans="1:18" x14ac:dyDescent="0.3">
      <c r="A15">
        <v>5.5</v>
      </c>
      <c r="B15" s="1">
        <v>117</v>
      </c>
      <c r="C15">
        <f t="shared" si="2"/>
        <v>3.7717000000000005</v>
      </c>
      <c r="D15">
        <f t="shared" si="0"/>
        <v>6.5713867565222545E-2</v>
      </c>
      <c r="E15" s="1">
        <v>6</v>
      </c>
      <c r="F15" s="1">
        <v>107</v>
      </c>
      <c r="G15">
        <f xml:space="preserve"> 0.0349*F15 - 0.3116</f>
        <v>3.4227000000000003</v>
      </c>
      <c r="H15">
        <f t="shared" si="7"/>
        <v>6.9536544931493499E-2</v>
      </c>
      <c r="I15" s="1">
        <v>6</v>
      </c>
      <c r="J15" s="1">
        <v>320</v>
      </c>
      <c r="K15" s="1">
        <f t="shared" si="3"/>
        <v>10.856399999999999</v>
      </c>
      <c r="L15" s="1">
        <f t="shared" si="4"/>
        <v>0.19485438958134593</v>
      </c>
      <c r="M15" s="1">
        <v>6</v>
      </c>
      <c r="N15" s="1">
        <v>206</v>
      </c>
      <c r="O15" s="1">
        <f t="shared" si="5"/>
        <v>6.8777999999999997</v>
      </c>
      <c r="P15">
        <f t="shared" si="6"/>
        <v>0.15227101397776974</v>
      </c>
      <c r="R15">
        <f t="shared" si="1"/>
        <v>247.60079999999999</v>
      </c>
    </row>
    <row r="16" spans="1:18" x14ac:dyDescent="0.3">
      <c r="A16">
        <v>7</v>
      </c>
      <c r="B16" s="1">
        <v>105</v>
      </c>
      <c r="C16">
        <f t="shared" si="2"/>
        <v>3.3529</v>
      </c>
      <c r="D16">
        <f t="shared" si="0"/>
        <v>5.8417166412873416E-2</v>
      </c>
      <c r="E16" s="1">
        <v>7</v>
      </c>
      <c r="F16" s="1">
        <v>94</v>
      </c>
      <c r="G16">
        <f xml:space="preserve"> 0.0349*F16 - 0.3116</f>
        <v>2.9690000000000003</v>
      </c>
      <c r="H16">
        <f t="shared" si="7"/>
        <v>6.0319046922489315E-2</v>
      </c>
      <c r="I16" s="1">
        <v>7</v>
      </c>
      <c r="J16" s="1">
        <v>202</v>
      </c>
      <c r="K16" s="1">
        <f t="shared" si="3"/>
        <v>6.7382</v>
      </c>
      <c r="L16" s="1">
        <f t="shared" si="4"/>
        <v>0.12093952395610195</v>
      </c>
      <c r="M16" s="1">
        <v>7</v>
      </c>
      <c r="N16" s="1">
        <v>78</v>
      </c>
      <c r="O16" s="1">
        <f t="shared" si="5"/>
        <v>2.4106000000000001</v>
      </c>
      <c r="P16">
        <f t="shared" si="6"/>
        <v>5.3369464988050216E-2</v>
      </c>
      <c r="R16">
        <f t="shared" si="1"/>
        <v>118.11940000000001</v>
      </c>
    </row>
    <row r="17" spans="1:18" x14ac:dyDescent="0.3">
      <c r="A17">
        <v>8</v>
      </c>
      <c r="B17" s="1">
        <v>97</v>
      </c>
      <c r="C17">
        <f t="shared" si="2"/>
        <v>3.0737000000000001</v>
      </c>
      <c r="D17">
        <f t="shared" si="0"/>
        <v>5.3552698977973996E-2</v>
      </c>
      <c r="E17" s="1">
        <v>8</v>
      </c>
      <c r="F17" s="1">
        <v>83</v>
      </c>
      <c r="G17">
        <f xml:space="preserve"> 0.0349*F17 - 0.3116</f>
        <v>2.5851000000000002</v>
      </c>
      <c r="H17">
        <f t="shared" si="7"/>
        <v>5.2519625530255014E-2</v>
      </c>
      <c r="I17" s="1">
        <v>8</v>
      </c>
      <c r="J17" s="1">
        <v>133</v>
      </c>
      <c r="K17" s="1">
        <f t="shared" si="3"/>
        <v>4.3300999999999998</v>
      </c>
      <c r="L17" s="1">
        <f t="shared" si="4"/>
        <v>7.7718119480323686E-2</v>
      </c>
      <c r="M17" s="1">
        <v>8</v>
      </c>
      <c r="N17" s="1">
        <v>33</v>
      </c>
      <c r="O17" s="1">
        <f t="shared" si="5"/>
        <v>0.84009999999999996</v>
      </c>
      <c r="P17">
        <f t="shared" si="6"/>
        <v>1.8599389171351937E-2</v>
      </c>
      <c r="R17">
        <f t="shared" si="1"/>
        <v>53.766399999999997</v>
      </c>
    </row>
    <row r="18" spans="1:18" x14ac:dyDescent="0.3">
      <c r="A18">
        <v>9</v>
      </c>
      <c r="B18" s="1">
        <v>86</v>
      </c>
      <c r="C18">
        <f t="shared" si="2"/>
        <v>2.6898</v>
      </c>
      <c r="D18">
        <f t="shared" si="0"/>
        <v>4.6864056254987296E-2</v>
      </c>
      <c r="E18" s="1">
        <v>9</v>
      </c>
      <c r="F18" s="1">
        <v>73</v>
      </c>
      <c r="G18">
        <f xml:space="preserve"> 0.0349*F18 - 0.3116</f>
        <v>2.2361</v>
      </c>
      <c r="H18">
        <f t="shared" si="7"/>
        <v>4.5429242446405643E-2</v>
      </c>
      <c r="I18" s="1">
        <v>9</v>
      </c>
      <c r="J18" s="1">
        <v>61</v>
      </c>
      <c r="K18" s="1">
        <f t="shared" si="3"/>
        <v>1.8173000000000004</v>
      </c>
      <c r="L18" s="1">
        <f t="shared" si="4"/>
        <v>3.2617523505598545E-2</v>
      </c>
      <c r="M18" s="1">
        <v>9</v>
      </c>
      <c r="N18" s="1">
        <v>18</v>
      </c>
      <c r="O18" s="1">
        <f t="shared" si="5"/>
        <v>0.31659999999999999</v>
      </c>
      <c r="P18">
        <f t="shared" si="6"/>
        <v>7.0093638991191804E-3</v>
      </c>
      <c r="R18">
        <f t="shared" si="1"/>
        <v>25.644600000000001</v>
      </c>
    </row>
    <row r="19" spans="1:18" x14ac:dyDescent="0.3">
      <c r="A19">
        <v>10</v>
      </c>
      <c r="B19" s="1">
        <v>78</v>
      </c>
      <c r="C19">
        <f t="shared" si="2"/>
        <v>2.4106000000000001</v>
      </c>
      <c r="D19">
        <f t="shared" si="0"/>
        <v>4.1999588820087884E-2</v>
      </c>
      <c r="E19" s="1">
        <v>10</v>
      </c>
      <c r="F19" s="1">
        <v>59</v>
      </c>
      <c r="G19">
        <f xml:space="preserve"> 0.0349*F19 - 0.3116</f>
        <v>1.7475000000000001</v>
      </c>
      <c r="H19">
        <f t="shared" si="7"/>
        <v>3.5502706129016529E-2</v>
      </c>
      <c r="I19" s="1">
        <v>10</v>
      </c>
      <c r="J19" s="1">
        <v>27</v>
      </c>
      <c r="K19" s="1">
        <f t="shared" si="3"/>
        <v>0.63070000000000004</v>
      </c>
      <c r="L19" s="1">
        <f t="shared" si="4"/>
        <v>1.1320019850867221E-2</v>
      </c>
      <c r="M19" s="1">
        <v>10</v>
      </c>
      <c r="N19" s="1">
        <v>13</v>
      </c>
      <c r="O19" s="1">
        <f t="shared" si="5"/>
        <v>0.1421</v>
      </c>
      <c r="P19">
        <f t="shared" si="6"/>
        <v>3.1460221417082615E-3</v>
      </c>
      <c r="R19">
        <f t="shared" si="1"/>
        <v>14.21</v>
      </c>
    </row>
    <row r="20" spans="1:18" x14ac:dyDescent="0.3">
      <c r="A20">
        <v>11</v>
      </c>
      <c r="B20" s="1">
        <v>66</v>
      </c>
      <c r="C20">
        <f t="shared" si="2"/>
        <v>1.9918</v>
      </c>
      <c r="D20">
        <f t="shared" si="0"/>
        <v>3.4702887667738755E-2</v>
      </c>
      <c r="E20" s="1">
        <v>11</v>
      </c>
      <c r="F20" s="1">
        <v>57</v>
      </c>
      <c r="G20">
        <f xml:space="preserve"> 0.0349*F20 - 0.3116</f>
        <v>1.6777000000000002</v>
      </c>
      <c r="H20">
        <f t="shared" si="7"/>
        <v>3.408462951224666E-2</v>
      </c>
      <c r="I20" s="1">
        <v>11</v>
      </c>
      <c r="J20" s="1">
        <v>17</v>
      </c>
      <c r="K20" s="1">
        <f t="shared" si="3"/>
        <v>0.28170000000000006</v>
      </c>
      <c r="L20" s="1">
        <f t="shared" si="4"/>
        <v>5.0560481877109506E-3</v>
      </c>
      <c r="M20" s="1"/>
      <c r="N20" s="1"/>
      <c r="O20" s="1"/>
      <c r="R20">
        <f t="shared" si="1"/>
        <v>0</v>
      </c>
    </row>
    <row r="21" spans="1:18" x14ac:dyDescent="0.3">
      <c r="A21">
        <v>12</v>
      </c>
      <c r="B21" s="1">
        <v>61</v>
      </c>
      <c r="C21">
        <f t="shared" si="2"/>
        <v>1.8173000000000004</v>
      </c>
      <c r="D21">
        <f t="shared" si="0"/>
        <v>3.1662595520926623E-2</v>
      </c>
      <c r="E21" s="1">
        <v>12</v>
      </c>
      <c r="F21" s="1">
        <v>51</v>
      </c>
      <c r="G21">
        <f xml:space="preserve"> 0.0349*F21 - 0.3116</f>
        <v>1.4683000000000002</v>
      </c>
      <c r="H21">
        <f t="shared" si="7"/>
        <v>2.9830399661937037E-2</v>
      </c>
      <c r="I21" s="1">
        <v>12</v>
      </c>
      <c r="J21" s="1">
        <v>14</v>
      </c>
      <c r="K21" s="1">
        <f t="shared" si="3"/>
        <v>0.17700000000000005</v>
      </c>
      <c r="L21" s="1">
        <f t="shared" si="4"/>
        <v>3.1768566887640693E-3</v>
      </c>
      <c r="M21" s="1"/>
      <c r="N21" s="1"/>
      <c r="O21" s="1"/>
      <c r="R21">
        <f t="shared" si="1"/>
        <v>0</v>
      </c>
    </row>
    <row r="22" spans="1:18" x14ac:dyDescent="0.3">
      <c r="A22">
        <v>13</v>
      </c>
      <c r="B22" s="1">
        <v>54</v>
      </c>
      <c r="C22">
        <f t="shared" si="2"/>
        <v>1.573</v>
      </c>
      <c r="D22">
        <f t="shared" si="0"/>
        <v>2.7406186515389626E-2</v>
      </c>
      <c r="E22" s="1">
        <v>13</v>
      </c>
      <c r="F22" s="1">
        <v>46</v>
      </c>
      <c r="G22">
        <f xml:space="preserve"> 0.0349*F22 - 0.3116</f>
        <v>1.2938000000000001</v>
      </c>
      <c r="H22">
        <f t="shared" si="7"/>
        <v>2.6285208120012352E-2</v>
      </c>
      <c r="I22" s="1">
        <v>13</v>
      </c>
      <c r="J22" s="1">
        <v>12</v>
      </c>
      <c r="K22" s="1">
        <f t="shared" si="3"/>
        <v>0.10720000000000002</v>
      </c>
      <c r="L22" s="1">
        <f>K22/55.71545</f>
        <v>1.9240623561328145E-3</v>
      </c>
      <c r="M22" s="1"/>
      <c r="N22" s="1"/>
      <c r="O22" s="1"/>
      <c r="R22">
        <f t="shared" si="1"/>
        <v>0</v>
      </c>
    </row>
    <row r="23" spans="1:18" x14ac:dyDescent="0.3">
      <c r="A23">
        <v>14</v>
      </c>
      <c r="B23" s="1">
        <v>46</v>
      </c>
      <c r="C23">
        <f t="shared" si="2"/>
        <v>1.2938000000000001</v>
      </c>
      <c r="D23">
        <f t="shared" si="0"/>
        <v>2.254171908049021E-2</v>
      </c>
      <c r="E23" s="1">
        <v>14</v>
      </c>
      <c r="F23" s="1">
        <v>41</v>
      </c>
      <c r="G23">
        <f xml:space="preserve"> 0.0349*F23 - 0.3116</f>
        <v>1.1193</v>
      </c>
      <c r="H23">
        <f t="shared" si="7"/>
        <v>2.2740016578087666E-2</v>
      </c>
      <c r="I23" s="1"/>
      <c r="M23" s="1"/>
      <c r="N23" s="1"/>
      <c r="O23" s="1"/>
      <c r="R23">
        <f t="shared" si="1"/>
        <v>0</v>
      </c>
    </row>
    <row r="24" spans="1:18" x14ac:dyDescent="0.3">
      <c r="A24">
        <v>15</v>
      </c>
      <c r="B24" s="1">
        <v>40</v>
      </c>
      <c r="C24">
        <f t="shared" si="2"/>
        <v>1.0844</v>
      </c>
      <c r="D24">
        <f t="shared" si="0"/>
        <v>1.8893368504315645E-2</v>
      </c>
      <c r="E24" s="1">
        <v>15</v>
      </c>
      <c r="F24" s="1">
        <v>38</v>
      </c>
      <c r="G24">
        <f xml:space="preserve"> 0.0349*F24 - 0.3116</f>
        <v>1.0146000000000002</v>
      </c>
      <c r="H24">
        <f t="shared" si="7"/>
        <v>2.061290165293286E-2</v>
      </c>
      <c r="R24">
        <f t="shared" si="1"/>
        <v>0</v>
      </c>
    </row>
    <row r="25" spans="1:18" x14ac:dyDescent="0.3">
      <c r="A25">
        <v>16</v>
      </c>
      <c r="B25" s="1">
        <v>34</v>
      </c>
      <c r="C25">
        <f t="shared" si="2"/>
        <v>0.87500000000000011</v>
      </c>
      <c r="D25">
        <f t="shared" si="0"/>
        <v>1.5245017928141084E-2</v>
      </c>
      <c r="E25" s="1">
        <v>16</v>
      </c>
      <c r="F25" s="1">
        <v>35</v>
      </c>
      <c r="G25">
        <f xml:space="preserve"> 0.0349*F25 - 0.3116</f>
        <v>0.90990000000000004</v>
      </c>
      <c r="H25">
        <f t="shared" si="7"/>
        <v>1.848578672777805E-2</v>
      </c>
      <c r="R25">
        <f t="shared" si="1"/>
        <v>0</v>
      </c>
    </row>
    <row r="26" spans="1:18" x14ac:dyDescent="0.3">
      <c r="A26">
        <v>17</v>
      </c>
      <c r="B26" s="1">
        <v>27</v>
      </c>
      <c r="C26">
        <f t="shared" si="2"/>
        <v>0.63070000000000004</v>
      </c>
      <c r="D26">
        <f t="shared" si="0"/>
        <v>1.0988608922604094E-2</v>
      </c>
      <c r="E26" s="1">
        <v>17</v>
      </c>
      <c r="F26" s="1">
        <v>31</v>
      </c>
      <c r="G26">
        <f xml:space="preserve"> 0.0349*F26 - 0.3116</f>
        <v>0.7703000000000001</v>
      </c>
      <c r="H26">
        <f t="shared" si="7"/>
        <v>1.5649633494238303E-2</v>
      </c>
      <c r="R26">
        <f t="shared" si="1"/>
        <v>0</v>
      </c>
    </row>
    <row r="27" spans="1:18" x14ac:dyDescent="0.3">
      <c r="A27">
        <v>18</v>
      </c>
      <c r="B27" s="1">
        <v>30</v>
      </c>
      <c r="C27">
        <f t="shared" si="2"/>
        <v>0.73539999999999994</v>
      </c>
      <c r="D27">
        <f t="shared" si="0"/>
        <v>1.2812784210691373E-2</v>
      </c>
      <c r="E27" s="1">
        <v>18</v>
      </c>
      <c r="F27" s="1">
        <v>28</v>
      </c>
      <c r="G27">
        <f xml:space="preserve"> 0.0349*F27 - 0.3116</f>
        <v>0.66560000000000008</v>
      </c>
      <c r="H27">
        <f t="shared" si="7"/>
        <v>1.3522518569083493E-2</v>
      </c>
      <c r="R27">
        <f t="shared" si="1"/>
        <v>0</v>
      </c>
    </row>
    <row r="28" spans="1:18" x14ac:dyDescent="0.3">
      <c r="A28">
        <v>19</v>
      </c>
      <c r="B28" s="1">
        <v>24</v>
      </c>
      <c r="C28">
        <f t="shared" si="2"/>
        <v>0.52600000000000002</v>
      </c>
      <c r="D28">
        <f t="shared" si="0"/>
        <v>9.164433634516812E-3</v>
      </c>
      <c r="E28" s="1">
        <v>19</v>
      </c>
      <c r="F28" s="1">
        <v>26</v>
      </c>
      <c r="G28">
        <f xml:space="preserve"> 0.0349*F28 - 0.3116</f>
        <v>0.5958</v>
      </c>
      <c r="H28">
        <f t="shared" si="7"/>
        <v>1.2104441952313617E-2</v>
      </c>
      <c r="R28">
        <f t="shared" si="1"/>
        <v>0</v>
      </c>
    </row>
    <row r="29" spans="1:18" x14ac:dyDescent="0.3">
      <c r="A29">
        <v>20</v>
      </c>
      <c r="B29" s="1">
        <v>24</v>
      </c>
      <c r="C29">
        <f t="shared" si="2"/>
        <v>0.52600000000000002</v>
      </c>
      <c r="D29">
        <f t="shared" si="0"/>
        <v>9.164433634516812E-3</v>
      </c>
      <c r="F29" s="1"/>
      <c r="G29" s="1"/>
      <c r="H29" s="1"/>
      <c r="R29">
        <f t="shared" si="1"/>
        <v>0</v>
      </c>
    </row>
    <row r="30" spans="1:18" x14ac:dyDescent="0.3">
      <c r="A30">
        <v>21</v>
      </c>
      <c r="B30" s="1">
        <v>23</v>
      </c>
      <c r="C30">
        <f t="shared" si="2"/>
        <v>0.49109999999999998</v>
      </c>
      <c r="D30">
        <f t="shared" si="0"/>
        <v>8.5563752051543828E-3</v>
      </c>
      <c r="R30">
        <f t="shared" si="1"/>
        <v>0</v>
      </c>
    </row>
    <row r="31" spans="1:18" x14ac:dyDescent="0.3">
      <c r="A31">
        <v>22</v>
      </c>
      <c r="B31" s="1">
        <v>20</v>
      </c>
      <c r="C31">
        <f t="shared" si="2"/>
        <v>0.38639999999999997</v>
      </c>
      <c r="D31">
        <f t="shared" si="0"/>
        <v>6.7321999170671014E-3</v>
      </c>
      <c r="R31">
        <f t="shared" si="1"/>
        <v>0</v>
      </c>
    </row>
    <row r="32" spans="1:18" x14ac:dyDescent="0.3">
      <c r="A32">
        <v>23</v>
      </c>
      <c r="B32" s="1">
        <v>19</v>
      </c>
      <c r="C32">
        <f t="shared" si="2"/>
        <v>0.35150000000000003</v>
      </c>
      <c r="D32">
        <f t="shared" si="0"/>
        <v>6.1241414877046757E-3</v>
      </c>
      <c r="R32">
        <f t="shared" si="1"/>
        <v>0</v>
      </c>
    </row>
    <row r="33" spans="1:18" x14ac:dyDescent="0.3">
      <c r="A33">
        <v>24</v>
      </c>
      <c r="B33" s="1">
        <v>18</v>
      </c>
      <c r="C33">
        <f t="shared" si="2"/>
        <v>0.31659999999999999</v>
      </c>
      <c r="D33">
        <f t="shared" si="0"/>
        <v>5.5160830583422474E-3</v>
      </c>
      <c r="R33">
        <f t="shared" ref="R5:R46" si="8" xml:space="preserve"> E33*E33*G33</f>
        <v>0</v>
      </c>
    </row>
    <row r="34" spans="1:18" x14ac:dyDescent="0.3">
      <c r="A34">
        <v>25</v>
      </c>
      <c r="B34" s="1">
        <v>16</v>
      </c>
      <c r="C34">
        <f t="shared" si="2"/>
        <v>0.24680000000000002</v>
      </c>
      <c r="D34">
        <f t="shared" si="0"/>
        <v>4.2999661996173935E-3</v>
      </c>
      <c r="R34">
        <f t="shared" si="8"/>
        <v>0</v>
      </c>
    </row>
    <row r="35" spans="1:18" x14ac:dyDescent="0.3">
      <c r="A35">
        <v>26</v>
      </c>
      <c r="B35" s="1">
        <v>15</v>
      </c>
      <c r="C35">
        <f t="shared" si="2"/>
        <v>0.21189999999999998</v>
      </c>
      <c r="D35">
        <f t="shared" si="0"/>
        <v>3.6919077702549661E-3</v>
      </c>
      <c r="R35">
        <f t="shared" si="8"/>
        <v>0</v>
      </c>
    </row>
    <row r="36" spans="1:18" x14ac:dyDescent="0.3">
      <c r="A36">
        <v>27</v>
      </c>
      <c r="B36" s="1">
        <v>14</v>
      </c>
      <c r="C36">
        <f t="shared" si="2"/>
        <v>0.17700000000000005</v>
      </c>
      <c r="D36">
        <f t="shared" si="0"/>
        <v>3.0838493408925399E-3</v>
      </c>
      <c r="R36">
        <f t="shared" si="8"/>
        <v>0</v>
      </c>
    </row>
    <row r="37" spans="1:18" x14ac:dyDescent="0.3">
      <c r="A37">
        <v>28</v>
      </c>
      <c r="B37" s="1">
        <v>14</v>
      </c>
      <c r="C37">
        <f t="shared" si="2"/>
        <v>0.17700000000000005</v>
      </c>
      <c r="D37">
        <f t="shared" si="0"/>
        <v>3.0838493408925399E-3</v>
      </c>
      <c r="R37">
        <f t="shared" si="8"/>
        <v>0</v>
      </c>
    </row>
    <row r="38" spans="1:18" x14ac:dyDescent="0.3">
      <c r="A38">
        <v>29</v>
      </c>
      <c r="B38" s="1">
        <v>12</v>
      </c>
      <c r="C38">
        <f t="shared" si="2"/>
        <v>0.10720000000000002</v>
      </c>
      <c r="D38">
        <f t="shared" si="0"/>
        <v>1.8677324821676851E-3</v>
      </c>
      <c r="R38">
        <f t="shared" si="8"/>
        <v>0</v>
      </c>
    </row>
    <row r="39" spans="1:18" x14ac:dyDescent="0.3">
      <c r="A39">
        <v>30</v>
      </c>
      <c r="B39" s="1">
        <v>12</v>
      </c>
      <c r="C39">
        <f t="shared" si="2"/>
        <v>0.10720000000000002</v>
      </c>
      <c r="D39">
        <f t="shared" si="0"/>
        <v>1.8677324821676851E-3</v>
      </c>
      <c r="R39">
        <f t="shared" si="8"/>
        <v>0</v>
      </c>
    </row>
    <row r="40" spans="1:18" x14ac:dyDescent="0.3">
      <c r="A40">
        <v>31</v>
      </c>
      <c r="B40" s="1">
        <v>11</v>
      </c>
      <c r="C40">
        <f t="shared" si="2"/>
        <v>7.2300000000000031E-2</v>
      </c>
      <c r="D40">
        <f t="shared" si="0"/>
        <v>1.2596740528052581E-3</v>
      </c>
      <c r="R40">
        <f t="shared" si="8"/>
        <v>0</v>
      </c>
    </row>
    <row r="41" spans="1:18" x14ac:dyDescent="0.3">
      <c r="A41">
        <v>32</v>
      </c>
      <c r="B41" s="1">
        <v>11</v>
      </c>
      <c r="C41">
        <f t="shared" si="2"/>
        <v>7.2300000000000031E-2</v>
      </c>
      <c r="D41">
        <f t="shared" si="0"/>
        <v>1.2596740528052581E-3</v>
      </c>
      <c r="R41">
        <f t="shared" si="8"/>
        <v>0</v>
      </c>
    </row>
    <row r="42" spans="1:18" x14ac:dyDescent="0.3">
      <c r="A42">
        <v>33</v>
      </c>
      <c r="B42" s="1">
        <v>11</v>
      </c>
      <c r="C42">
        <f t="shared" si="2"/>
        <v>7.2300000000000031E-2</v>
      </c>
      <c r="D42">
        <f t="shared" si="0"/>
        <v>1.2596740528052581E-3</v>
      </c>
      <c r="R42">
        <f t="shared" si="8"/>
        <v>0</v>
      </c>
    </row>
    <row r="43" spans="1:18" x14ac:dyDescent="0.3">
      <c r="A43">
        <v>34</v>
      </c>
      <c r="B43" s="1">
        <v>10</v>
      </c>
      <c r="C43">
        <f t="shared" si="2"/>
        <v>3.7399999999999989E-2</v>
      </c>
      <c r="D43">
        <f t="shared" si="0"/>
        <v>6.5161562344283005E-4</v>
      </c>
      <c r="R43">
        <f t="shared" si="8"/>
        <v>0</v>
      </c>
    </row>
    <row r="44" spans="1:18" x14ac:dyDescent="0.3">
      <c r="A44">
        <v>35</v>
      </c>
      <c r="B44" s="1">
        <v>10</v>
      </c>
      <c r="C44">
        <f t="shared" si="2"/>
        <v>3.7399999999999989E-2</v>
      </c>
      <c r="D44">
        <f t="shared" si="0"/>
        <v>6.5161562344283005E-4</v>
      </c>
      <c r="R44">
        <f t="shared" si="8"/>
        <v>0</v>
      </c>
    </row>
    <row r="45" spans="1:18" x14ac:dyDescent="0.3">
      <c r="A45">
        <v>36</v>
      </c>
      <c r="B45" s="1">
        <v>10</v>
      </c>
      <c r="C45">
        <f t="shared" si="2"/>
        <v>3.7399999999999989E-2</v>
      </c>
      <c r="D45">
        <f t="shared" si="0"/>
        <v>6.5161562344283005E-4</v>
      </c>
      <c r="R45">
        <f t="shared" si="8"/>
        <v>0</v>
      </c>
    </row>
    <row r="46" spans="1:18" x14ac:dyDescent="0.3">
      <c r="R46">
        <f t="shared" si="8"/>
        <v>0</v>
      </c>
    </row>
    <row r="47" spans="1:18" x14ac:dyDescent="0.3">
      <c r="R47">
        <f>SUM(R4:R46)</f>
        <v>1779.1944500000002</v>
      </c>
    </row>
    <row r="49" spans="1:18" x14ac:dyDescent="0.3">
      <c r="A49" t="s">
        <v>9</v>
      </c>
      <c r="C49">
        <f>SUM(C4:C45)</f>
        <v>85.95650000000002</v>
      </c>
      <c r="G49">
        <f t="shared" ref="D49:O49" si="9">SUM(G4:G45)</f>
        <v>76.45859999999999</v>
      </c>
      <c r="K49">
        <f t="shared" si="9"/>
        <v>86.494800000000026</v>
      </c>
      <c r="O49">
        <f t="shared" si="9"/>
        <v>79.78649999999999</v>
      </c>
      <c r="Q49" t="s">
        <v>8</v>
      </c>
      <c r="R49">
        <f>R47/O49- 4.625835198 *4.625835198</f>
        <v>0.90109098247977926</v>
      </c>
    </row>
  </sheetData>
  <mergeCells count="6">
    <mergeCell ref="I2:L2"/>
    <mergeCell ref="M2:P2"/>
    <mergeCell ref="I1:P1"/>
    <mergeCell ref="A2:D2"/>
    <mergeCell ref="E2:H2"/>
    <mergeCell ref="A1:H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Shree_221029</dc:creator>
  <cp:lastModifiedBy>Shreya Shree_221029</cp:lastModifiedBy>
  <dcterms:created xsi:type="dcterms:W3CDTF">2024-11-09T11:12:39Z</dcterms:created>
  <dcterms:modified xsi:type="dcterms:W3CDTF">2024-11-09T14:31:17Z</dcterms:modified>
</cp:coreProperties>
</file>